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ocuments\GitHub\WH\论文方案\"/>
    </mc:Choice>
  </mc:AlternateContent>
  <bookViews>
    <workbookView windowHeight="18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<sst xmlns="http://schemas.openxmlformats.org/spreadsheetml/2006/main" count="179" uniqueCount="61">
  <si>
    <t>不同方法在三个数据集上的性能对比</t>
  </si>
  <si>
    <t>Model</t>
  </si>
  <si>
    <r>
      <rPr>
        <b/>
        <sz val="10.5"/>
        <color theme="1"/>
        <rFont val="Times New Roman"/>
        <charset val="134"/>
      </rPr>
      <t>VGGSound-GZSL</t>
    </r>
    <r>
      <rPr>
        <b/>
        <i/>
        <vertAlign val="superscript"/>
        <sz val="10.5"/>
        <color theme="1"/>
        <rFont val="Times New Roman"/>
        <charset val="134"/>
      </rPr>
      <t>cls</t>
    </r>
  </si>
  <si>
    <r>
      <rPr>
        <b/>
        <sz val="10.5"/>
        <color theme="1"/>
        <rFont val="Times New Roman"/>
        <charset val="134"/>
      </rPr>
      <t>UCF-GZSL</t>
    </r>
    <r>
      <rPr>
        <b/>
        <i/>
        <vertAlign val="superscript"/>
        <sz val="10.5"/>
        <color theme="1"/>
        <rFont val="Times New Roman"/>
        <charset val="134"/>
      </rPr>
      <t>cls</t>
    </r>
  </si>
  <si>
    <r>
      <rPr>
        <b/>
        <sz val="10.5"/>
        <color theme="1"/>
        <rFont val="Times New Roman"/>
        <charset val="134"/>
      </rPr>
      <t>ActivityNet-GZSL</t>
    </r>
    <r>
      <rPr>
        <b/>
        <i/>
        <vertAlign val="superscript"/>
        <sz val="10.5"/>
        <color theme="1"/>
        <rFont val="Times New Roman"/>
        <charset val="134"/>
      </rPr>
      <t>cls</t>
    </r>
  </si>
  <si>
    <t>S</t>
  </si>
  <si>
    <t>U</t>
  </si>
  <si>
    <t>HM</t>
  </si>
  <si>
    <t>ZSL</t>
  </si>
  <si>
    <t>DeViSE NeurIPS’13</t>
  </si>
  <si>
    <t>ALE T-PAMP’15</t>
  </si>
  <si>
    <t>SJE CVPR’20</t>
  </si>
  <si>
    <t>f-VAEGAN-D2 CVPR’19</t>
  </si>
  <si>
    <t>APN IJCV’22</t>
  </si>
  <si>
    <t>CJME WACV’20</t>
  </si>
  <si>
    <t>AVGZSLNet WACV’21</t>
  </si>
  <si>
    <t>AVCA CVPR’22</t>
  </si>
  <si>
    <t>TCAF ECCV’22</t>
  </si>
  <si>
    <t>AVFS IJCNN’23</t>
  </si>
  <si>
    <t>Hyper-multiple ICCV’23</t>
  </si>
  <si>
    <t>KDA ARXIV’23</t>
  </si>
  <si>
    <t>STFT TIP’24</t>
  </si>
  <si>
    <t>ClipClap CVPR’24</t>
  </si>
  <si>
    <t>EZ-GZSL ECCV'24</t>
  </si>
  <si>
    <t>MSTR Neurocomputing'25</t>
  </si>
  <si>
    <t>MDST++ TCSVT'25</t>
  </si>
  <si>
    <t>SACMA Inf.Fusion’25</t>
  </si>
  <si>
    <t>SGPAN ICASSP'26</t>
  </si>
  <si>
    <t>SG-GZSL</t>
  </si>
  <si>
    <t>SG-GZSL中DSPO、SGTG、DMIF的影响</t>
  </si>
  <si>
    <t>w/o DSPO</t>
  </si>
  <si>
    <t>w/o SGTG</t>
  </si>
  <si>
    <t>w/o DMIF</t>
  </si>
  <si>
    <t>SGTG中时序聚合的影响</t>
  </si>
  <si>
    <t>时序聚合</t>
  </si>
  <si>
    <t>均匀池化</t>
  </si>
  <si>
    <t>Top-K 离散选择</t>
  </si>
  <si>
    <t>均匀路由</t>
  </si>
  <si>
    <t>高斯专家数量的影响</t>
  </si>
  <si>
    <t>E的个数</t>
  </si>
  <si>
    <t>DSPO优化目标的影响</t>
  </si>
  <si>
    <t>原型优化目标</t>
  </si>
  <si>
    <r>
      <rPr>
        <sz val="11"/>
        <color rgb="FF000000"/>
        <rFont val="宋体"/>
        <charset val="134"/>
      </rPr>
      <t>初始原型</t>
    </r>
    <r>
      <rPr>
        <i/>
        <sz val="11"/>
        <color rgb="FF000000"/>
        <rFont val="Times New Roman"/>
        <charset val="134"/>
      </rPr>
      <t>w</t>
    </r>
    <r>
      <rPr>
        <vertAlign val="subscript"/>
        <sz val="11"/>
        <color rgb="FF000000"/>
        <rFont val="Times New Roman"/>
        <charset val="134"/>
      </rPr>
      <t>c</t>
    </r>
    <r>
      <rPr>
        <vertAlign val="superscript"/>
        <sz val="11"/>
        <color rgb="FF000000"/>
        <rFont val="Times New Roman"/>
        <charset val="134"/>
      </rPr>
      <t>(0)</t>
    </r>
  </si>
  <si>
    <r>
      <rPr>
        <sz val="11"/>
        <color rgb="FF000000"/>
        <rFont val="宋体"/>
        <charset val="134"/>
      </rPr>
      <t>仅</t>
    </r>
    <r>
      <rPr>
        <sz val="11"/>
        <color rgb="FF000000"/>
        <rFont val="Times New Roman"/>
        <charset val="134"/>
      </rPr>
      <t>ℒ</t>
    </r>
    <r>
      <rPr>
        <vertAlign val="subscript"/>
        <sz val="11"/>
        <color rgb="FF000000"/>
        <rFont val="Times New Roman"/>
        <charset val="134"/>
      </rPr>
      <t>sep</t>
    </r>
  </si>
  <si>
    <r>
      <rPr>
        <sz val="11"/>
        <color rgb="FF000000"/>
        <rFont val="宋体"/>
        <charset val="134"/>
      </rPr>
      <t>仅</t>
    </r>
    <r>
      <rPr>
        <sz val="11"/>
        <color rgb="FF000000"/>
        <rFont val="Times New Roman"/>
        <charset val="134"/>
      </rPr>
      <t>ℒ</t>
    </r>
    <r>
      <rPr>
        <vertAlign val="subscript"/>
        <sz val="11"/>
        <color rgb="FF000000"/>
        <rFont val="Times New Roman"/>
        <charset val="134"/>
      </rPr>
      <t>rank</t>
    </r>
  </si>
  <si>
    <t>联合目标ℒ</t>
  </si>
  <si>
    <t>DMIF分支与门控的影响</t>
  </si>
  <si>
    <t>仅模态内分支(公式字母)</t>
  </si>
  <si>
    <t>仅模态间分支</t>
  </si>
  <si>
    <t>平均融合</t>
  </si>
  <si>
    <t>完整三路门控</t>
  </si>
  <si>
    <t>文本编码器的影响</t>
  </si>
  <si>
    <t>文本编码器</t>
  </si>
  <si>
    <t>CLIP</t>
  </si>
  <si>
    <t>CLAP</t>
  </si>
  <si>
    <t>Both</t>
  </si>
  <si>
    <t>语义描述的影响</t>
  </si>
  <si>
    <t>语义描述</t>
  </si>
  <si>
    <t>仅类别名称模板</t>
  </si>
  <si>
    <t>视觉侧描述</t>
  </si>
  <si>
    <t>听觉侧描述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</si>
</sst>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2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b/>
      <sz val="10.5"/>
      <color theme="1"/>
      <name val="Times New Roman"/>
      <charset val="134"/>
    </font>
    <font>
      <i/>
      <sz val="9"/>
      <color theme="1"/>
      <name val="Times New Roman"/>
      <charset val="134"/>
    </font>
    <font>
      <i/>
      <sz val="9"/>
      <color rgb="FF000000"/>
      <name val="Times New Roman"/>
      <charset val="134"/>
    </font>
    <font>
      <sz val="9"/>
      <color rgb="FF000000"/>
      <name val="Times New Roman"/>
      <charset val="134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i/>
      <vertAlign val="superscript"/>
      <sz val="10.5"/>
      <color theme="1"/>
      <name val="Times New Roman"/>
      <charset val="134"/>
    </font>
    <font>
      <i/>
      <sz val="11"/>
      <color rgb="FF000000"/>
      <name val="Times New Roman"/>
      <charset val="134"/>
    </font>
    <font>
      <vertAlign val="subscript"/>
      <sz val="11"/>
      <color rgb="FF000000"/>
      <name val="Times New Roman"/>
      <charset val="134"/>
    </font>
    <font>
      <vertAlign val="superscript"/>
      <sz val="11"/>
      <color rgb="FF000000"/>
      <name val="Times New Roman"/>
      <charset val="134"/>
    </font>
    <font>
      <sz val="11"/>
      <color rgb="FF000000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6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176" fontId="0" fillId="0" borderId="5" xfId="0" applyNumberFormat="1" applyFont="1" applyFill="1" applyBorder="1" applyAlignment="1">
      <alignment horizontal="center" vertical="center"/>
    </xf>
    <xf numFmtId="176" fontId="6" fillId="0" borderId="5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176" fontId="6" fillId="0" borderId="0" xfId="0" applyNumberFormat="1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1"/>
  <sheetViews>
    <sheetView tabSelected="1" zoomScale="145" zoomScaleNormal="145" topLeftCell="A29" workbookViewId="0">
      <selection activeCell="O57" sqref="O57"/>
    </sheetView>
  </sheetViews>
  <sheetFormatPr defaultColWidth="9" defaultRowHeight="13.5"/>
  <cols>
    <col min="1" max="1" width="35.4333333333333" customWidth="1"/>
    <col min="8" max="8" width="12.625"/>
    <col min="12" max="12" width="12.625"/>
  </cols>
  <sheetData>
    <row r="1" ht="14.25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5" spans="1:13">
      <c r="A2" s="2" t="s">
        <v>1</v>
      </c>
      <c r="B2" s="3" t="s">
        <v>2</v>
      </c>
      <c r="C2" s="3"/>
      <c r="D2" s="3"/>
      <c r="E2" s="3"/>
      <c r="F2" s="3" t="s">
        <v>3</v>
      </c>
      <c r="G2" s="3"/>
      <c r="H2" s="3"/>
      <c r="I2" s="3"/>
      <c r="J2" s="3" t="s">
        <v>4</v>
      </c>
      <c r="K2" s="3"/>
      <c r="L2" s="3"/>
      <c r="M2" s="3"/>
    </row>
    <row r="3" ht="14.25" spans="1:13">
      <c r="A3" s="4"/>
      <c r="B3" s="5" t="s">
        <v>5</v>
      </c>
      <c r="C3" s="6" t="s">
        <v>6</v>
      </c>
      <c r="D3" s="7" t="s">
        <v>7</v>
      </c>
      <c r="E3" s="8" t="s">
        <v>8</v>
      </c>
      <c r="F3" s="9" t="s">
        <v>5</v>
      </c>
      <c r="G3" s="10" t="s">
        <v>6</v>
      </c>
      <c r="H3" s="8" t="s">
        <v>7</v>
      </c>
      <c r="I3" s="8" t="s">
        <v>8</v>
      </c>
      <c r="J3" s="9" t="s">
        <v>5</v>
      </c>
      <c r="K3" s="10" t="s">
        <v>6</v>
      </c>
      <c r="L3" s="8" t="s">
        <v>7</v>
      </c>
      <c r="M3" s="8" t="s">
        <v>8</v>
      </c>
    </row>
    <row r="4" spans="1:13">
      <c r="A4" s="11" t="s">
        <v>9</v>
      </c>
      <c r="B4" s="12">
        <v>36.22</v>
      </c>
      <c r="C4" s="12">
        <v>1.07</v>
      </c>
      <c r="D4" s="12">
        <v>2.08</v>
      </c>
      <c r="E4" s="12">
        <v>5.59</v>
      </c>
      <c r="F4" s="12">
        <v>55.59</v>
      </c>
      <c r="G4" s="12">
        <v>14.94</v>
      </c>
      <c r="H4" s="12">
        <v>23.56</v>
      </c>
      <c r="I4" s="12">
        <v>16.09</v>
      </c>
      <c r="J4" s="12">
        <v>3.45</v>
      </c>
      <c r="K4" s="12">
        <v>8.53</v>
      </c>
      <c r="L4" s="12">
        <v>4.91</v>
      </c>
      <c r="M4" s="12">
        <v>8.53</v>
      </c>
    </row>
    <row r="5" spans="1:13">
      <c r="A5" s="1" t="s">
        <v>10</v>
      </c>
      <c r="B5" s="13">
        <v>0.28</v>
      </c>
      <c r="C5" s="13">
        <v>5.48</v>
      </c>
      <c r="D5" s="13">
        <v>0.53</v>
      </c>
      <c r="E5" s="13">
        <v>5.48</v>
      </c>
      <c r="F5" s="13">
        <v>57.59</v>
      </c>
      <c r="G5" s="13">
        <v>14.89</v>
      </c>
      <c r="H5" s="13">
        <v>23.66</v>
      </c>
      <c r="I5" s="13">
        <v>16.32</v>
      </c>
      <c r="J5" s="13">
        <v>2.63</v>
      </c>
      <c r="K5" s="13">
        <v>7.87</v>
      </c>
      <c r="L5" s="13">
        <v>3.94</v>
      </c>
      <c r="M5" s="13">
        <v>7.9</v>
      </c>
    </row>
    <row r="6" spans="1:13">
      <c r="A6" s="1" t="s">
        <v>11</v>
      </c>
      <c r="B6" s="14">
        <v>48.33</v>
      </c>
      <c r="C6" s="13">
        <v>1.1</v>
      </c>
      <c r="D6" s="13">
        <v>2.15</v>
      </c>
      <c r="E6" s="13">
        <v>4.06</v>
      </c>
      <c r="F6" s="13">
        <v>63.1</v>
      </c>
      <c r="G6" s="13">
        <v>16.77</v>
      </c>
      <c r="H6" s="13">
        <v>26.5</v>
      </c>
      <c r="I6" s="13">
        <v>18.93</v>
      </c>
      <c r="J6" s="13">
        <v>4.61</v>
      </c>
      <c r="K6" s="13">
        <v>7.04</v>
      </c>
      <c r="L6" s="13">
        <v>5.57</v>
      </c>
      <c r="M6" s="13">
        <v>7.08</v>
      </c>
    </row>
    <row r="7" spans="1:13">
      <c r="A7" s="1" t="s">
        <v>12</v>
      </c>
      <c r="B7" s="13">
        <v>12.77</v>
      </c>
      <c r="C7" s="13">
        <v>0.95</v>
      </c>
      <c r="D7" s="13">
        <v>1.77</v>
      </c>
      <c r="E7" s="13">
        <v>1.91</v>
      </c>
      <c r="F7" s="13">
        <v>17.29</v>
      </c>
      <c r="G7" s="13">
        <v>8.47</v>
      </c>
      <c r="H7" s="13">
        <v>11.37</v>
      </c>
      <c r="I7" s="13">
        <v>11.11</v>
      </c>
      <c r="J7" s="13">
        <v>4.36</v>
      </c>
      <c r="K7" s="13">
        <v>2.14</v>
      </c>
      <c r="L7" s="13">
        <v>2.87</v>
      </c>
      <c r="M7" s="13">
        <v>2.4</v>
      </c>
    </row>
    <row r="8" spans="1:13">
      <c r="A8" s="1" t="s">
        <v>13</v>
      </c>
      <c r="B8" s="13">
        <v>7.48</v>
      </c>
      <c r="C8" s="13">
        <v>3.88</v>
      </c>
      <c r="D8" s="13">
        <v>5.11</v>
      </c>
      <c r="E8" s="13">
        <v>4.49</v>
      </c>
      <c r="F8" s="13">
        <v>28.46</v>
      </c>
      <c r="G8" s="13">
        <v>16.16</v>
      </c>
      <c r="H8" s="13">
        <v>20.61</v>
      </c>
      <c r="I8" s="13">
        <v>16.44</v>
      </c>
      <c r="J8" s="13">
        <v>9.84</v>
      </c>
      <c r="K8" s="13">
        <v>5.76</v>
      </c>
      <c r="L8" s="13">
        <v>7.27</v>
      </c>
      <c r="M8" s="13">
        <v>6.34</v>
      </c>
    </row>
    <row r="9" spans="1:13">
      <c r="A9" s="1" t="s">
        <v>14</v>
      </c>
      <c r="B9" s="13">
        <v>11.96</v>
      </c>
      <c r="C9" s="13">
        <v>5.41</v>
      </c>
      <c r="D9" s="13">
        <v>7.45</v>
      </c>
      <c r="E9" s="13">
        <v>6.84</v>
      </c>
      <c r="F9" s="13">
        <v>48.18</v>
      </c>
      <c r="G9" s="13">
        <v>17.68</v>
      </c>
      <c r="H9" s="13">
        <v>25.87</v>
      </c>
      <c r="I9" s="13">
        <v>20.46</v>
      </c>
      <c r="J9" s="13">
        <v>16.06</v>
      </c>
      <c r="K9" s="13">
        <v>9.13</v>
      </c>
      <c r="L9" s="13">
        <v>11.64</v>
      </c>
      <c r="M9" s="13">
        <v>9.92</v>
      </c>
    </row>
    <row r="10" spans="1:13">
      <c r="A10" s="1" t="s">
        <v>15</v>
      </c>
      <c r="B10" s="13">
        <v>13.02</v>
      </c>
      <c r="C10" s="13">
        <v>2.88</v>
      </c>
      <c r="D10" s="13">
        <v>4.71</v>
      </c>
      <c r="E10" s="13">
        <v>5.44</v>
      </c>
      <c r="F10" s="13">
        <v>56.26</v>
      </c>
      <c r="G10" s="13">
        <v>34.37</v>
      </c>
      <c r="H10" s="13">
        <v>42.67</v>
      </c>
      <c r="I10" s="13">
        <v>35.66</v>
      </c>
      <c r="J10" s="13">
        <v>14.81</v>
      </c>
      <c r="K10" s="13">
        <v>11.11</v>
      </c>
      <c r="L10" s="13">
        <v>12.7</v>
      </c>
      <c r="M10" s="13">
        <v>12.39</v>
      </c>
    </row>
    <row r="11" spans="1:13">
      <c r="A11" s="1" t="s">
        <v>16</v>
      </c>
      <c r="B11" s="13">
        <v>32.47</v>
      </c>
      <c r="C11" s="13">
        <v>6.81</v>
      </c>
      <c r="D11" s="13">
        <v>11.26</v>
      </c>
      <c r="E11" s="13">
        <v>8.16</v>
      </c>
      <c r="F11" s="13">
        <v>34.9</v>
      </c>
      <c r="G11" s="13">
        <v>38.67</v>
      </c>
      <c r="H11" s="13">
        <v>36.69</v>
      </c>
      <c r="I11" s="13">
        <v>38.67</v>
      </c>
      <c r="J11" s="13">
        <v>24.04</v>
      </c>
      <c r="K11" s="13">
        <v>19.88</v>
      </c>
      <c r="L11" s="13">
        <v>21.76</v>
      </c>
      <c r="M11" s="13">
        <v>20.88</v>
      </c>
    </row>
    <row r="12" spans="1:13">
      <c r="A12" s="1" t="s">
        <v>17</v>
      </c>
      <c r="B12" s="13">
        <v>12.63</v>
      </c>
      <c r="C12" s="13">
        <v>6.72</v>
      </c>
      <c r="D12" s="13">
        <v>8.77</v>
      </c>
      <c r="E12" s="13">
        <v>7.41</v>
      </c>
      <c r="F12" s="13">
        <v>67.14</v>
      </c>
      <c r="G12" s="13">
        <v>40.83</v>
      </c>
      <c r="H12" s="13">
        <v>50.78</v>
      </c>
      <c r="I12" s="13">
        <v>44.64</v>
      </c>
      <c r="J12" s="13">
        <v>30.12</v>
      </c>
      <c r="K12" s="13">
        <v>7.65</v>
      </c>
      <c r="L12" s="13">
        <v>12.2</v>
      </c>
      <c r="M12" s="13">
        <v>7.96</v>
      </c>
    </row>
    <row r="13" spans="1:13">
      <c r="A13" s="1" t="s">
        <v>18</v>
      </c>
      <c r="B13" s="13">
        <v>15.62</v>
      </c>
      <c r="C13" s="13">
        <v>6</v>
      </c>
      <c r="D13" s="13">
        <v>8.67</v>
      </c>
      <c r="E13" s="13">
        <v>7.31</v>
      </c>
      <c r="F13" s="13">
        <v>54.57</v>
      </c>
      <c r="G13" s="13">
        <v>36.94</v>
      </c>
      <c r="H13" s="13">
        <v>44.06</v>
      </c>
      <c r="I13" s="13">
        <v>41.55</v>
      </c>
      <c r="J13" s="13">
        <v>14.41</v>
      </c>
      <c r="K13" s="13">
        <v>8.91</v>
      </c>
      <c r="L13" s="13">
        <v>11.01</v>
      </c>
      <c r="M13" s="13">
        <v>9.15</v>
      </c>
    </row>
    <row r="14" spans="1:13">
      <c r="A14" s="1" t="s">
        <v>19</v>
      </c>
      <c r="B14" s="13">
        <v>21.99</v>
      </c>
      <c r="C14" s="13">
        <v>8.12</v>
      </c>
      <c r="D14" s="13">
        <v>11.87</v>
      </c>
      <c r="E14" s="13">
        <v>8.47</v>
      </c>
      <c r="F14" s="13">
        <v>43.52</v>
      </c>
      <c r="G14" s="13">
        <v>39.77</v>
      </c>
      <c r="H14" s="13">
        <v>41.56</v>
      </c>
      <c r="I14" s="13">
        <v>40.28</v>
      </c>
      <c r="J14" s="13">
        <v>20.52</v>
      </c>
      <c r="K14" s="13">
        <v>21.3</v>
      </c>
      <c r="L14" s="13">
        <v>20.9</v>
      </c>
      <c r="M14" s="13">
        <v>22.18</v>
      </c>
    </row>
    <row r="15" spans="1:13">
      <c r="A15" s="1" t="s">
        <v>20</v>
      </c>
      <c r="B15" s="13">
        <v>13.3</v>
      </c>
      <c r="C15" s="13">
        <v>7.74</v>
      </c>
      <c r="D15" s="13">
        <v>9.78</v>
      </c>
      <c r="E15" s="13">
        <v>8.32</v>
      </c>
      <c r="F15" s="13">
        <v>75.88</v>
      </c>
      <c r="G15" s="13">
        <v>42.97</v>
      </c>
      <c r="H15" s="13">
        <v>54.84</v>
      </c>
      <c r="I15" s="13">
        <v>52.66</v>
      </c>
      <c r="J15" s="13">
        <v>37.55</v>
      </c>
      <c r="K15" s="13">
        <v>10.25</v>
      </c>
      <c r="L15" s="13">
        <v>17.95</v>
      </c>
      <c r="M15" s="13">
        <v>11.85</v>
      </c>
    </row>
    <row r="16" spans="1:13">
      <c r="A16" s="1" t="s">
        <v>21</v>
      </c>
      <c r="B16" s="13">
        <v>11.74</v>
      </c>
      <c r="C16" s="13">
        <v>8.83</v>
      </c>
      <c r="D16" s="13">
        <v>10.08</v>
      </c>
      <c r="E16" s="13">
        <v>8.79</v>
      </c>
      <c r="F16" s="13">
        <v>61.42</v>
      </c>
      <c r="G16" s="13">
        <v>43.81</v>
      </c>
      <c r="H16" s="13">
        <v>51.14</v>
      </c>
      <c r="I16" s="13">
        <v>49.74</v>
      </c>
      <c r="J16" s="13">
        <v>25.12</v>
      </c>
      <c r="K16" s="13">
        <v>9.83</v>
      </c>
      <c r="L16" s="13">
        <v>14.13</v>
      </c>
      <c r="M16" s="13">
        <v>9.46</v>
      </c>
    </row>
    <row r="17" spans="1:13">
      <c r="A17" s="1" t="s">
        <v>22</v>
      </c>
      <c r="B17" s="13">
        <v>27.59</v>
      </c>
      <c r="C17" s="13">
        <v>11</v>
      </c>
      <c r="D17" s="13">
        <v>15.73</v>
      </c>
      <c r="E17" s="13">
        <v>11.28</v>
      </c>
      <c r="F17" s="13">
        <v>78.2</v>
      </c>
      <c r="G17" s="13">
        <v>42.57</v>
      </c>
      <c r="H17" s="13">
        <v>55.13</v>
      </c>
      <c r="I17" s="13">
        <v>46.01</v>
      </c>
      <c r="J17" s="13">
        <v>44.89</v>
      </c>
      <c r="K17" s="13">
        <v>19.42</v>
      </c>
      <c r="L17" s="13">
        <v>27.11</v>
      </c>
      <c r="M17" s="13">
        <v>21.76</v>
      </c>
    </row>
    <row r="18" spans="1:13">
      <c r="A18" s="1" t="s">
        <v>23</v>
      </c>
      <c r="B18" s="13">
        <v>17.26</v>
      </c>
      <c r="C18" s="13">
        <v>8.68</v>
      </c>
      <c r="D18" s="13">
        <v>11.55</v>
      </c>
      <c r="E18" s="13">
        <v>8.92</v>
      </c>
      <c r="F18" s="13">
        <v>78.32</v>
      </c>
      <c r="G18" s="13">
        <v>46.35</v>
      </c>
      <c r="H18" s="13">
        <v>58.24</v>
      </c>
      <c r="I18" s="13">
        <v>48.27</v>
      </c>
      <c r="J18" s="13">
        <v>38.52</v>
      </c>
      <c r="K18" s="13">
        <v>12.85</v>
      </c>
      <c r="L18" s="13">
        <v>19.27</v>
      </c>
      <c r="M18" s="13">
        <v>13.01</v>
      </c>
    </row>
    <row r="19" spans="1:13">
      <c r="A19" s="1" t="s">
        <v>24</v>
      </c>
      <c r="B19" s="13">
        <v>13.7</v>
      </c>
      <c r="C19" s="13">
        <v>5.48</v>
      </c>
      <c r="D19" s="13">
        <v>7.83</v>
      </c>
      <c r="E19" s="13">
        <v>6.38</v>
      </c>
      <c r="F19" s="13">
        <v>86.32</v>
      </c>
      <c r="G19" s="13">
        <v>19.97</v>
      </c>
      <c r="H19" s="13">
        <v>32.43</v>
      </c>
      <c r="I19" s="13">
        <v>23.57</v>
      </c>
      <c r="J19" s="13">
        <v>22.92</v>
      </c>
      <c r="K19" s="13">
        <v>9.28</v>
      </c>
      <c r="L19" s="13">
        <v>13.21</v>
      </c>
      <c r="M19" s="13">
        <v>9.65</v>
      </c>
    </row>
    <row r="20" spans="1:13">
      <c r="A20" s="1" t="s">
        <v>25</v>
      </c>
      <c r="B20" s="13">
        <v>12.21</v>
      </c>
      <c r="C20" s="13">
        <v>8.38</v>
      </c>
      <c r="D20" s="13">
        <v>9.94</v>
      </c>
      <c r="E20" s="13">
        <v>10.32</v>
      </c>
      <c r="F20" s="13">
        <v>65.32</v>
      </c>
      <c r="G20" s="13">
        <v>44.79</v>
      </c>
      <c r="H20" s="13">
        <v>53.14</v>
      </c>
      <c r="I20" s="14">
        <v>55.22</v>
      </c>
      <c r="J20" s="13">
        <v>27.53</v>
      </c>
      <c r="K20" s="13">
        <v>10.72</v>
      </c>
      <c r="L20" s="13">
        <v>15.43</v>
      </c>
      <c r="M20" s="13">
        <v>13.12</v>
      </c>
    </row>
    <row r="21" spans="1:13">
      <c r="A21" s="1" t="s">
        <v>26</v>
      </c>
      <c r="B21" s="13">
        <v>13.42</v>
      </c>
      <c r="C21" s="13">
        <v>6</v>
      </c>
      <c r="D21" s="13">
        <v>8.29</v>
      </c>
      <c r="E21" s="13">
        <v>6.46</v>
      </c>
      <c r="F21" s="13">
        <v>60.15</v>
      </c>
      <c r="G21" s="13">
        <v>27.46</v>
      </c>
      <c r="H21" s="13">
        <v>37.71</v>
      </c>
      <c r="I21" s="13">
        <v>29.07</v>
      </c>
      <c r="J21" s="13">
        <v>17.12</v>
      </c>
      <c r="K21" s="13">
        <v>7.32</v>
      </c>
      <c r="L21" s="13">
        <v>10.25</v>
      </c>
      <c r="M21" s="13">
        <v>7.52</v>
      </c>
    </row>
    <row r="22" spans="1:13">
      <c r="A22" s="1" t="s">
        <v>27</v>
      </c>
      <c r="B22" s="13">
        <v>18.03</v>
      </c>
      <c r="C22" s="13">
        <v>5.68</v>
      </c>
      <c r="D22" s="13">
        <v>8.64</v>
      </c>
      <c r="E22" s="13">
        <v>6.87</v>
      </c>
      <c r="F22" s="13">
        <v>64.84</v>
      </c>
      <c r="G22" s="13">
        <v>21.71</v>
      </c>
      <c r="H22" s="13">
        <v>32.52</v>
      </c>
      <c r="I22" s="13">
        <v>25.16</v>
      </c>
      <c r="J22" s="13">
        <v>21.83</v>
      </c>
      <c r="K22" s="13">
        <v>7.6</v>
      </c>
      <c r="L22" s="13">
        <v>11.28</v>
      </c>
      <c r="M22" s="13">
        <v>7.9</v>
      </c>
    </row>
    <row r="23" ht="14.25" spans="1:13">
      <c r="A23" s="15" t="s">
        <v>28</v>
      </c>
      <c r="B23" s="16">
        <v>35.08</v>
      </c>
      <c r="C23" s="17">
        <v>16.87</v>
      </c>
      <c r="D23" s="17">
        <v>22.78</v>
      </c>
      <c r="E23" s="17">
        <v>17.65</v>
      </c>
      <c r="F23" s="17">
        <v>85.49</v>
      </c>
      <c r="G23" s="17">
        <v>46.97</v>
      </c>
      <c r="H23" s="17">
        <f>(2*F23*G23)/(F23+G23)</f>
        <v>60.6291001056923</v>
      </c>
      <c r="I23" s="16">
        <v>50.38</v>
      </c>
      <c r="J23" s="17">
        <v>47.28</v>
      </c>
      <c r="K23" s="17">
        <v>23.61</v>
      </c>
      <c r="L23" s="17">
        <f>(2*J23*K23)/(J23+K23)</f>
        <v>31.4933220482438</v>
      </c>
      <c r="M23" s="17">
        <v>23.96</v>
      </c>
    </row>
    <row r="24" ht="14.25"/>
    <row r="30" ht="14.25" spans="1:13">
      <c r="A30" s="1" t="s">
        <v>29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ht="15" spans="1:13">
      <c r="A31" s="2" t="s">
        <v>1</v>
      </c>
      <c r="B31" s="3" t="s">
        <v>2</v>
      </c>
      <c r="C31" s="3"/>
      <c r="D31" s="3"/>
      <c r="E31" s="3"/>
      <c r="F31" s="3" t="s">
        <v>3</v>
      </c>
      <c r="G31" s="3"/>
      <c r="H31" s="3"/>
      <c r="I31" s="3"/>
      <c r="J31" s="3" t="s">
        <v>4</v>
      </c>
      <c r="K31" s="3"/>
      <c r="L31" s="3"/>
      <c r="M31" s="3"/>
    </row>
    <row r="32" ht="14.25" spans="1:13">
      <c r="A32" s="4"/>
      <c r="B32" s="5" t="s">
        <v>5</v>
      </c>
      <c r="C32" s="6" t="s">
        <v>6</v>
      </c>
      <c r="D32" s="7" t="s">
        <v>7</v>
      </c>
      <c r="E32" s="8" t="s">
        <v>8</v>
      </c>
      <c r="F32" s="9" t="s">
        <v>5</v>
      </c>
      <c r="G32" s="10" t="s">
        <v>6</v>
      </c>
      <c r="H32" s="8" t="s">
        <v>7</v>
      </c>
      <c r="I32" s="8" t="s">
        <v>8</v>
      </c>
      <c r="J32" s="9" t="s">
        <v>5</v>
      </c>
      <c r="K32" s="10" t="s">
        <v>6</v>
      </c>
      <c r="L32" s="8" t="s">
        <v>7</v>
      </c>
      <c r="M32" s="8" t="s">
        <v>8</v>
      </c>
    </row>
    <row r="33" spans="1:13">
      <c r="A33" s="11" t="s">
        <v>30</v>
      </c>
      <c r="B33" s="11">
        <v>19.26</v>
      </c>
      <c r="C33" s="11">
        <v>9.28</v>
      </c>
      <c r="D33" s="12">
        <f>(2*B33*C33)/(B33+C33)</f>
        <v>12.525073580939</v>
      </c>
      <c r="E33" s="11">
        <v>9.86</v>
      </c>
      <c r="F33" s="11">
        <v>40.17</v>
      </c>
      <c r="G33" s="11">
        <v>35.37</v>
      </c>
      <c r="H33" s="12">
        <f>(2*F33*G33)/(F33+G33)</f>
        <v>37.6174980142971</v>
      </c>
      <c r="I33" s="11">
        <v>37.27</v>
      </c>
      <c r="J33" s="11">
        <v>20.36</v>
      </c>
      <c r="K33" s="11">
        <v>16.33</v>
      </c>
      <c r="L33" s="12">
        <f t="shared" ref="L33:L36" si="0">(2*J33*K33)/(J33+K33)</f>
        <v>18.1236740256201</v>
      </c>
      <c r="M33" s="18">
        <v>17.67</v>
      </c>
    </row>
    <row r="34" spans="1:13">
      <c r="A34" s="11" t="s">
        <v>31</v>
      </c>
      <c r="B34" s="12">
        <v>10.3</v>
      </c>
      <c r="C34" s="11">
        <v>7.83</v>
      </c>
      <c r="D34" s="12">
        <f>(2*B34*C34)/(B34+C34)</f>
        <v>8.89674572531715</v>
      </c>
      <c r="E34" s="12">
        <v>8.72</v>
      </c>
      <c r="F34" s="11">
        <v>30.76</v>
      </c>
      <c r="G34" s="11">
        <v>22.52</v>
      </c>
      <c r="H34" s="12">
        <f t="shared" ref="H34:H36" si="1">(2*F34*G34)/(F34+G34)</f>
        <v>26.0028228228228</v>
      </c>
      <c r="I34" s="11">
        <v>23.61</v>
      </c>
      <c r="J34" s="11">
        <v>29.71</v>
      </c>
      <c r="K34" s="11">
        <v>17.97</v>
      </c>
      <c r="L34" s="12">
        <f t="shared" si="0"/>
        <v>22.3946602348993</v>
      </c>
      <c r="M34" s="11">
        <v>18.85</v>
      </c>
    </row>
    <row r="35" spans="1:13">
      <c r="A35" s="11" t="s">
        <v>32</v>
      </c>
      <c r="B35" s="11">
        <v>24.23</v>
      </c>
      <c r="C35" s="18">
        <v>9.56</v>
      </c>
      <c r="D35" s="12">
        <f>(2*B35*C35)/(B35+C35)</f>
        <v>13.7104942290619</v>
      </c>
      <c r="E35" s="11">
        <v>10.66</v>
      </c>
      <c r="F35" s="11">
        <v>59.66</v>
      </c>
      <c r="G35" s="11">
        <v>45.16</v>
      </c>
      <c r="H35" s="12">
        <f t="shared" si="1"/>
        <v>51.4070902499523</v>
      </c>
      <c r="I35" s="11">
        <v>47.39</v>
      </c>
      <c r="J35" s="11">
        <v>37.14</v>
      </c>
      <c r="K35" s="11">
        <v>21.83</v>
      </c>
      <c r="L35" s="12">
        <f t="shared" si="0"/>
        <v>27.497581821265</v>
      </c>
      <c r="M35" s="11">
        <v>23.94</v>
      </c>
    </row>
    <row r="36" ht="14.25" spans="1:13">
      <c r="A36" s="15" t="s">
        <v>28</v>
      </c>
      <c r="B36" s="19">
        <v>35.08</v>
      </c>
      <c r="C36" s="19">
        <v>16.87</v>
      </c>
      <c r="D36" s="19">
        <v>22.78</v>
      </c>
      <c r="E36" s="19">
        <v>17.65</v>
      </c>
      <c r="F36" s="19">
        <v>85.49</v>
      </c>
      <c r="G36" s="19">
        <v>46.97</v>
      </c>
      <c r="H36" s="17">
        <f t="shared" si="1"/>
        <v>60.6291001056923</v>
      </c>
      <c r="I36" s="19">
        <v>50.38</v>
      </c>
      <c r="J36" s="19">
        <v>47.28</v>
      </c>
      <c r="K36" s="19">
        <v>23.61</v>
      </c>
      <c r="L36" s="17">
        <f t="shared" si="0"/>
        <v>31.4933220482438</v>
      </c>
      <c r="M36" s="19">
        <v>23.96</v>
      </c>
    </row>
    <row r="37" ht="14.25"/>
    <row r="39" ht="14.25" spans="1:13">
      <c r="A39" s="1" t="s">
        <v>33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ht="15" spans="1:13">
      <c r="A40" s="2" t="s">
        <v>34</v>
      </c>
      <c r="B40" s="3" t="s">
        <v>2</v>
      </c>
      <c r="C40" s="3"/>
      <c r="D40" s="3"/>
      <c r="E40" s="3"/>
      <c r="F40" s="3" t="s">
        <v>3</v>
      </c>
      <c r="G40" s="3"/>
      <c r="H40" s="3"/>
      <c r="I40" s="3"/>
      <c r="J40" s="3" t="s">
        <v>4</v>
      </c>
      <c r="K40" s="3"/>
      <c r="L40" s="3"/>
      <c r="M40" s="3"/>
    </row>
    <row r="41" ht="14.25" spans="1:13">
      <c r="A41" s="4"/>
      <c r="B41" s="5" t="s">
        <v>5</v>
      </c>
      <c r="C41" s="6" t="s">
        <v>6</v>
      </c>
      <c r="D41" s="7" t="s">
        <v>7</v>
      </c>
      <c r="E41" s="8" t="s">
        <v>8</v>
      </c>
      <c r="F41" s="9" t="s">
        <v>5</v>
      </c>
      <c r="G41" s="10" t="s">
        <v>6</v>
      </c>
      <c r="H41" s="8" t="s">
        <v>7</v>
      </c>
      <c r="I41" s="8" t="s">
        <v>8</v>
      </c>
      <c r="J41" s="9" t="s">
        <v>5</v>
      </c>
      <c r="K41" s="10" t="s">
        <v>6</v>
      </c>
      <c r="L41" s="8" t="s">
        <v>7</v>
      </c>
      <c r="M41" s="8" t="s">
        <v>8</v>
      </c>
    </row>
    <row r="42" spans="1:13">
      <c r="A42" s="11" t="s">
        <v>35</v>
      </c>
      <c r="B42" s="11">
        <v>32.29</v>
      </c>
      <c r="C42" s="11">
        <v>9.84</v>
      </c>
      <c r="D42" s="12">
        <f t="shared" ref="D42:D45" si="2">(2*B42*C42)/(B42+C42)</f>
        <v>15.0834844528839</v>
      </c>
      <c r="E42" s="11">
        <v>10.97</v>
      </c>
      <c r="F42" s="11">
        <v>70.18</v>
      </c>
      <c r="G42" s="11">
        <v>35.94</v>
      </c>
      <c r="H42" s="12">
        <f t="shared" ref="H42:H45" si="3">(2*F42*G42)/(F42+G42)</f>
        <v>47.5361703731625</v>
      </c>
      <c r="I42" s="11">
        <v>42.88</v>
      </c>
      <c r="J42" s="11">
        <v>34.25</v>
      </c>
      <c r="K42" s="11">
        <v>20.74</v>
      </c>
      <c r="L42" s="12">
        <f t="shared" ref="L42:L45" si="4">(2*J42*K42)/(J42+K42)</f>
        <v>25.8354246226587</v>
      </c>
      <c r="M42" s="11">
        <v>22.16</v>
      </c>
    </row>
    <row r="43" spans="1:13">
      <c r="A43" s="11" t="s">
        <v>36</v>
      </c>
      <c r="B43" s="11">
        <v>32.58</v>
      </c>
      <c r="C43" s="11">
        <v>10.14</v>
      </c>
      <c r="D43" s="12">
        <f t="shared" si="2"/>
        <v>15.4663483146067</v>
      </c>
      <c r="E43" s="11">
        <v>11.34</v>
      </c>
      <c r="F43" s="12">
        <v>78.6</v>
      </c>
      <c r="G43" s="11">
        <v>36.78</v>
      </c>
      <c r="H43" s="12">
        <f t="shared" si="3"/>
        <v>50.1110764430577</v>
      </c>
      <c r="I43" s="11">
        <v>48.46</v>
      </c>
      <c r="J43" s="11">
        <v>38.58</v>
      </c>
      <c r="K43" s="11">
        <v>17.35</v>
      </c>
      <c r="L43" s="12">
        <f t="shared" si="4"/>
        <v>23.9357411049526</v>
      </c>
      <c r="M43" s="11">
        <v>22.71</v>
      </c>
    </row>
    <row r="44" spans="1:13">
      <c r="A44" s="11" t="s">
        <v>37</v>
      </c>
      <c r="B44" s="11">
        <v>31.61</v>
      </c>
      <c r="C44" s="12">
        <v>11.3</v>
      </c>
      <c r="D44" s="12">
        <f t="shared" si="2"/>
        <v>16.6484735492892</v>
      </c>
      <c r="E44" s="11">
        <v>12.41</v>
      </c>
      <c r="F44" s="11">
        <v>80.01</v>
      </c>
      <c r="G44" s="11">
        <v>39.75</v>
      </c>
      <c r="H44" s="12">
        <f t="shared" si="3"/>
        <v>53.1128507014028</v>
      </c>
      <c r="I44" s="20">
        <v>50.67</v>
      </c>
      <c r="J44" s="11">
        <v>40.61</v>
      </c>
      <c r="K44" s="12">
        <v>20.4</v>
      </c>
      <c r="L44" s="12">
        <f t="shared" si="4"/>
        <v>27.1576462874939</v>
      </c>
      <c r="M44" s="20">
        <v>24.43</v>
      </c>
    </row>
    <row r="45" ht="14.25" spans="1:13">
      <c r="A45" s="15" t="s">
        <v>28</v>
      </c>
      <c r="B45" s="19">
        <v>35.08</v>
      </c>
      <c r="C45" s="21">
        <v>16.87</v>
      </c>
      <c r="D45" s="17">
        <f t="shared" si="2"/>
        <v>22.7834302213667</v>
      </c>
      <c r="E45" s="19">
        <v>17.65</v>
      </c>
      <c r="F45" s="19">
        <v>85.49</v>
      </c>
      <c r="G45" s="19">
        <v>46.97</v>
      </c>
      <c r="H45" s="17">
        <f t="shared" si="3"/>
        <v>60.6291001056923</v>
      </c>
      <c r="I45" s="21">
        <v>50.38</v>
      </c>
      <c r="J45" s="19">
        <v>47.28</v>
      </c>
      <c r="K45" s="19">
        <v>23.61</v>
      </c>
      <c r="L45" s="17">
        <f t="shared" si="4"/>
        <v>31.4933220482438</v>
      </c>
      <c r="M45" s="21">
        <v>23.96</v>
      </c>
    </row>
    <row r="46" ht="14.25"/>
    <row r="48" ht="14.25" spans="1:13">
      <c r="A48" s="1" t="s">
        <v>38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ht="15" spans="1:13">
      <c r="A49" s="2" t="s">
        <v>39</v>
      </c>
      <c r="B49" s="3" t="s">
        <v>2</v>
      </c>
      <c r="C49" s="3"/>
      <c r="D49" s="3"/>
      <c r="E49" s="3"/>
      <c r="F49" s="3" t="s">
        <v>3</v>
      </c>
      <c r="G49" s="3"/>
      <c r="H49" s="3"/>
      <c r="I49" s="3"/>
      <c r="J49" s="3" t="s">
        <v>4</v>
      </c>
      <c r="K49" s="3"/>
      <c r="L49" s="3"/>
      <c r="M49" s="3"/>
    </row>
    <row r="50" ht="14.25" spans="1:13">
      <c r="A50" s="4"/>
      <c r="B50" s="5" t="s">
        <v>5</v>
      </c>
      <c r="C50" s="6" t="s">
        <v>6</v>
      </c>
      <c r="D50" s="7" t="s">
        <v>7</v>
      </c>
      <c r="E50" s="8" t="s">
        <v>8</v>
      </c>
      <c r="F50" s="9" t="s">
        <v>5</v>
      </c>
      <c r="G50" s="10" t="s">
        <v>6</v>
      </c>
      <c r="H50" s="8" t="s">
        <v>7</v>
      </c>
      <c r="I50" s="8" t="s">
        <v>8</v>
      </c>
      <c r="J50" s="9" t="s">
        <v>5</v>
      </c>
      <c r="K50" s="10" t="s">
        <v>6</v>
      </c>
      <c r="L50" s="8" t="s">
        <v>7</v>
      </c>
      <c r="M50" s="8" t="s">
        <v>8</v>
      </c>
    </row>
    <row r="51" spans="1:13">
      <c r="A51" s="11">
        <v>1</v>
      </c>
      <c r="B51" s="11">
        <v>30.05</v>
      </c>
      <c r="C51" s="11">
        <v>9.66</v>
      </c>
      <c r="D51" s="12">
        <f t="shared" ref="D51:D55" si="5">(2*B51*C51)/(B51+C51)</f>
        <v>14.6201460589272</v>
      </c>
      <c r="E51" s="11">
        <v>11.88</v>
      </c>
      <c r="F51" s="11">
        <v>58.32</v>
      </c>
      <c r="G51" s="11">
        <v>24.26</v>
      </c>
      <c r="H51" s="12">
        <f t="shared" ref="H51:H55" si="6">(2*F51*G51)/(F51+G51)</f>
        <v>34.2660014531364</v>
      </c>
      <c r="I51" s="11">
        <v>32.63</v>
      </c>
      <c r="J51" s="11">
        <v>33.06</v>
      </c>
      <c r="K51" s="11">
        <v>14.27</v>
      </c>
      <c r="L51" s="12">
        <f t="shared" ref="L51:L55" si="7">(2*J51*K51)/(J51+K51)</f>
        <v>19.9351869849989</v>
      </c>
      <c r="M51" s="11">
        <v>17.47</v>
      </c>
    </row>
    <row r="52" spans="1:13">
      <c r="A52" s="11">
        <v>3</v>
      </c>
      <c r="B52" s="11">
        <v>23.51</v>
      </c>
      <c r="C52" s="11">
        <v>12.23</v>
      </c>
      <c r="D52" s="12">
        <f t="shared" si="5"/>
        <v>16.089944040291</v>
      </c>
      <c r="E52" s="11">
        <v>12.23</v>
      </c>
      <c r="F52" s="11">
        <v>52.75</v>
      </c>
      <c r="G52" s="11">
        <v>34.19</v>
      </c>
      <c r="H52" s="12">
        <f t="shared" si="6"/>
        <v>41.4889003910743</v>
      </c>
      <c r="I52" s="11">
        <v>35.19</v>
      </c>
      <c r="J52" s="11">
        <v>34.44</v>
      </c>
      <c r="K52" s="11">
        <v>16.04</v>
      </c>
      <c r="L52" s="12">
        <f t="shared" si="7"/>
        <v>21.8865927099841</v>
      </c>
      <c r="M52" s="11">
        <v>19.02</v>
      </c>
    </row>
    <row r="53" spans="1:13">
      <c r="A53" s="11">
        <v>5</v>
      </c>
      <c r="B53" s="11">
        <v>19.89</v>
      </c>
      <c r="C53" s="11">
        <v>10.62</v>
      </c>
      <c r="D53" s="12">
        <f t="shared" si="5"/>
        <v>13.8467256637168</v>
      </c>
      <c r="E53" s="11">
        <v>12.61</v>
      </c>
      <c r="F53" s="11">
        <v>71.28</v>
      </c>
      <c r="G53" s="11">
        <v>37.34</v>
      </c>
      <c r="H53" s="12">
        <f t="shared" si="6"/>
        <v>49.0074608727674</v>
      </c>
      <c r="I53" s="11">
        <v>45.02</v>
      </c>
      <c r="J53" s="11">
        <v>41.84</v>
      </c>
      <c r="K53" s="11">
        <v>18.88</v>
      </c>
      <c r="L53" s="12">
        <f t="shared" si="7"/>
        <v>26.0190777338603</v>
      </c>
      <c r="M53" s="11">
        <v>19.72</v>
      </c>
    </row>
    <row r="54" spans="1:13">
      <c r="A54" s="11">
        <v>7</v>
      </c>
      <c r="B54" s="20">
        <v>35.08</v>
      </c>
      <c r="C54" s="20">
        <v>16.87</v>
      </c>
      <c r="D54" s="22">
        <f t="shared" si="5"/>
        <v>22.7834302213667</v>
      </c>
      <c r="E54" s="20">
        <v>17.65</v>
      </c>
      <c r="F54" s="11">
        <v>85.49</v>
      </c>
      <c r="G54" s="20">
        <v>46.97</v>
      </c>
      <c r="H54" s="22">
        <f t="shared" si="6"/>
        <v>60.6291001056923</v>
      </c>
      <c r="I54" s="11">
        <v>50.38</v>
      </c>
      <c r="J54" s="20">
        <v>47.28</v>
      </c>
      <c r="K54" s="20">
        <v>23.61</v>
      </c>
      <c r="L54" s="22">
        <f t="shared" si="7"/>
        <v>31.4933220482438</v>
      </c>
      <c r="M54" s="20">
        <v>23.96</v>
      </c>
    </row>
    <row r="55" ht="14.25" spans="1:13">
      <c r="A55" s="15">
        <v>9</v>
      </c>
      <c r="B55" s="21">
        <v>30.99</v>
      </c>
      <c r="C55" s="21">
        <v>11.75</v>
      </c>
      <c r="D55" s="16">
        <f t="shared" si="5"/>
        <v>17.0394244267665</v>
      </c>
      <c r="E55" s="21">
        <v>14.73</v>
      </c>
      <c r="F55" s="19">
        <v>87.48</v>
      </c>
      <c r="G55" s="21">
        <v>45.77</v>
      </c>
      <c r="H55" s="16">
        <f t="shared" si="6"/>
        <v>60.0969545966229</v>
      </c>
      <c r="I55" s="19">
        <v>51.48</v>
      </c>
      <c r="J55" s="21">
        <v>43.97</v>
      </c>
      <c r="K55" s="21">
        <v>20.15</v>
      </c>
      <c r="L55" s="16">
        <f t="shared" si="7"/>
        <v>27.6355427323768</v>
      </c>
      <c r="M55" s="21">
        <v>21.03</v>
      </c>
    </row>
    <row r="56" ht="14.25"/>
    <row r="58" ht="14.25" spans="1:13">
      <c r="A58" s="1" t="s">
        <v>40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ht="15" spans="1:13">
      <c r="A59" s="2" t="s">
        <v>41</v>
      </c>
      <c r="B59" s="3" t="s">
        <v>2</v>
      </c>
      <c r="C59" s="3"/>
      <c r="D59" s="3"/>
      <c r="E59" s="3"/>
      <c r="F59" s="3" t="s">
        <v>3</v>
      </c>
      <c r="G59" s="3"/>
      <c r="H59" s="3"/>
      <c r="I59" s="3"/>
      <c r="J59" s="3" t="s">
        <v>4</v>
      </c>
      <c r="K59" s="3"/>
      <c r="L59" s="3"/>
      <c r="M59" s="3"/>
    </row>
    <row r="60" ht="14.25" spans="1:13">
      <c r="A60" s="4"/>
      <c r="B60" s="5" t="s">
        <v>5</v>
      </c>
      <c r="C60" s="6" t="s">
        <v>6</v>
      </c>
      <c r="D60" s="7" t="s">
        <v>7</v>
      </c>
      <c r="E60" s="8" t="s">
        <v>8</v>
      </c>
      <c r="F60" s="9" t="s">
        <v>5</v>
      </c>
      <c r="G60" s="10" t="s">
        <v>6</v>
      </c>
      <c r="H60" s="8" t="s">
        <v>7</v>
      </c>
      <c r="I60" s="8" t="s">
        <v>8</v>
      </c>
      <c r="J60" s="9" t="s">
        <v>5</v>
      </c>
      <c r="K60" s="10" t="s">
        <v>6</v>
      </c>
      <c r="L60" s="8" t="s">
        <v>7</v>
      </c>
      <c r="M60" s="8" t="s">
        <v>8</v>
      </c>
    </row>
    <row r="61" ht="18.75" spans="1:13">
      <c r="A61" s="23" t="s">
        <v>42</v>
      </c>
      <c r="B61" s="11">
        <v>19.26</v>
      </c>
      <c r="C61" s="11">
        <v>9.28</v>
      </c>
      <c r="D61" s="12">
        <f>(2*B61*C61)/(B61+C61)</f>
        <v>12.525073580939</v>
      </c>
      <c r="E61" s="11">
        <v>9.86</v>
      </c>
      <c r="F61" s="11">
        <v>40.17</v>
      </c>
      <c r="G61" s="11">
        <v>35.37</v>
      </c>
      <c r="H61" s="12">
        <f>(2*F61*G61)/(F61+G61)</f>
        <v>37.6174980142971</v>
      </c>
      <c r="I61" s="11">
        <v>37.27</v>
      </c>
      <c r="J61" s="11">
        <v>20.36</v>
      </c>
      <c r="K61" s="11">
        <v>16.33</v>
      </c>
      <c r="L61" s="12">
        <f>(2*J61*K61)/(J61+K61)</f>
        <v>18.1236740256201</v>
      </c>
      <c r="M61" s="18">
        <v>17.67</v>
      </c>
    </row>
    <row r="62" ht="18.75" spans="1:13">
      <c r="A62" s="23" t="s">
        <v>43</v>
      </c>
      <c r="B62" s="12">
        <v>24.5</v>
      </c>
      <c r="C62" s="11">
        <v>12.95</v>
      </c>
      <c r="D62" s="12">
        <f t="shared" ref="D61:D64" si="8">(2*B62*C62)/(B62+C62)</f>
        <v>16.9439252336449</v>
      </c>
      <c r="E62" s="11">
        <v>16.72</v>
      </c>
      <c r="F62" s="11">
        <v>78.54</v>
      </c>
      <c r="G62" s="11">
        <v>34.96</v>
      </c>
      <c r="H62" s="12">
        <f t="shared" ref="H61:H64" si="9">(2*F62*G62)/(F62+G62)</f>
        <v>48.3834079295154</v>
      </c>
      <c r="I62" s="11">
        <v>41.26</v>
      </c>
      <c r="J62" s="22">
        <v>48.2</v>
      </c>
      <c r="K62" s="11">
        <v>20.9</v>
      </c>
      <c r="L62" s="12">
        <f t="shared" ref="L61:L64" si="10">(2*J62*K62)/(J62+K62)</f>
        <v>29.1571635311143</v>
      </c>
      <c r="M62" s="11">
        <v>21.35</v>
      </c>
    </row>
    <row r="63" ht="18.75" spans="1:13">
      <c r="A63" s="23" t="s">
        <v>44</v>
      </c>
      <c r="B63" s="12">
        <v>20.8</v>
      </c>
      <c r="C63" s="11">
        <v>12.52</v>
      </c>
      <c r="D63" s="12">
        <f t="shared" si="8"/>
        <v>15.631212484994</v>
      </c>
      <c r="E63" s="11">
        <v>14.58</v>
      </c>
      <c r="F63" s="11">
        <v>74.08</v>
      </c>
      <c r="G63" s="12">
        <v>43.9</v>
      </c>
      <c r="H63" s="12">
        <f t="shared" si="9"/>
        <v>55.1298864214274</v>
      </c>
      <c r="I63" s="11">
        <v>43.96</v>
      </c>
      <c r="J63" s="11">
        <v>33.67</v>
      </c>
      <c r="K63" s="11">
        <v>21.52</v>
      </c>
      <c r="L63" s="12">
        <f t="shared" si="10"/>
        <v>26.2575973908317</v>
      </c>
      <c r="M63" s="20">
        <v>24.52</v>
      </c>
    </row>
    <row r="64" ht="14.25" spans="1:13">
      <c r="A64" s="15" t="s">
        <v>45</v>
      </c>
      <c r="B64" s="19">
        <v>35.08</v>
      </c>
      <c r="C64" s="19">
        <v>16.87</v>
      </c>
      <c r="D64" s="17">
        <f t="shared" si="8"/>
        <v>22.7834302213667</v>
      </c>
      <c r="E64" s="19">
        <v>17.65</v>
      </c>
      <c r="F64" s="19">
        <v>85.49</v>
      </c>
      <c r="G64" s="19">
        <v>46.97</v>
      </c>
      <c r="H64" s="17">
        <f t="shared" si="9"/>
        <v>60.6291001056923</v>
      </c>
      <c r="I64" s="19">
        <v>50.38</v>
      </c>
      <c r="J64" s="21">
        <v>47.28</v>
      </c>
      <c r="K64" s="19">
        <v>23.61</v>
      </c>
      <c r="L64" s="17">
        <f t="shared" si="10"/>
        <v>31.4933220482438</v>
      </c>
      <c r="M64" s="21">
        <v>23.96</v>
      </c>
    </row>
    <row r="65" ht="14.25"/>
    <row r="67" ht="14.25" spans="1:13">
      <c r="A67" s="1" t="s">
        <v>46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ht="15" spans="1:13">
      <c r="A68" s="2" t="s">
        <v>1</v>
      </c>
      <c r="B68" s="3" t="s">
        <v>2</v>
      </c>
      <c r="C68" s="3"/>
      <c r="D68" s="3"/>
      <c r="E68" s="3"/>
      <c r="F68" s="3" t="s">
        <v>3</v>
      </c>
      <c r="G68" s="3"/>
      <c r="H68" s="3"/>
      <c r="I68" s="3"/>
      <c r="J68" s="3" t="s">
        <v>4</v>
      </c>
      <c r="K68" s="3"/>
      <c r="L68" s="3"/>
      <c r="M68" s="3"/>
    </row>
    <row r="69" ht="14.25" spans="1:13">
      <c r="A69" s="4"/>
      <c r="B69" s="5" t="s">
        <v>5</v>
      </c>
      <c r="C69" s="6" t="s">
        <v>6</v>
      </c>
      <c r="D69" s="7" t="s">
        <v>7</v>
      </c>
      <c r="E69" s="8" t="s">
        <v>8</v>
      </c>
      <c r="F69" s="9" t="s">
        <v>5</v>
      </c>
      <c r="G69" s="10" t="s">
        <v>6</v>
      </c>
      <c r="H69" s="8" t="s">
        <v>7</v>
      </c>
      <c r="I69" s="8" t="s">
        <v>8</v>
      </c>
      <c r="J69" s="9" t="s">
        <v>5</v>
      </c>
      <c r="K69" s="10" t="s">
        <v>6</v>
      </c>
      <c r="L69" s="8" t="s">
        <v>7</v>
      </c>
      <c r="M69" s="8" t="s">
        <v>8</v>
      </c>
    </row>
    <row r="70" spans="1:13">
      <c r="A70" s="11" t="s">
        <v>47</v>
      </c>
      <c r="B70" s="11">
        <v>19.87</v>
      </c>
      <c r="C70" s="11">
        <v>10.45</v>
      </c>
      <c r="D70" s="12">
        <f t="shared" ref="D70:D73" si="11">(2*B70*C70)/(B70+C70)</f>
        <v>13.6966688654354</v>
      </c>
      <c r="E70" s="11">
        <v>11.39</v>
      </c>
      <c r="F70" s="11">
        <v>43.45</v>
      </c>
      <c r="G70" s="11">
        <v>34.49</v>
      </c>
      <c r="H70" s="12">
        <f t="shared" ref="H70:H73" si="12">(2*F70*G70)/(F70+G70)</f>
        <v>38.45497818835</v>
      </c>
      <c r="I70" s="11">
        <v>36.92</v>
      </c>
      <c r="J70" s="11">
        <v>24.47</v>
      </c>
      <c r="K70" s="11">
        <v>12.15</v>
      </c>
      <c r="L70" s="12">
        <f t="shared" ref="L70:L73" si="13">(2*J70*K70)/(J70+K70)</f>
        <v>16.2376024030584</v>
      </c>
      <c r="M70" s="11">
        <v>12.44</v>
      </c>
    </row>
    <row r="71" spans="1:13">
      <c r="A71" s="11" t="s">
        <v>48</v>
      </c>
      <c r="B71" s="11">
        <v>24.03</v>
      </c>
      <c r="C71" s="11">
        <v>9.63</v>
      </c>
      <c r="D71" s="12">
        <f t="shared" si="11"/>
        <v>13.7497860962567</v>
      </c>
      <c r="E71" s="11">
        <v>11.56</v>
      </c>
      <c r="F71" s="11">
        <v>65.83</v>
      </c>
      <c r="G71" s="11">
        <v>28.25</v>
      </c>
      <c r="H71" s="12">
        <f t="shared" si="12"/>
        <v>39.5343856292517</v>
      </c>
      <c r="I71" s="11">
        <v>28.63</v>
      </c>
      <c r="J71" s="11">
        <v>29.72</v>
      </c>
      <c r="K71" s="11">
        <v>11.62</v>
      </c>
      <c r="L71" s="12">
        <f t="shared" si="13"/>
        <v>16.7076149008224</v>
      </c>
      <c r="M71" s="11">
        <v>15.82</v>
      </c>
    </row>
    <row r="72" spans="1:13">
      <c r="A72" s="11" t="s">
        <v>49</v>
      </c>
      <c r="B72" s="11">
        <v>16.32</v>
      </c>
      <c r="C72" s="11">
        <v>6.96</v>
      </c>
      <c r="D72" s="12">
        <f t="shared" si="11"/>
        <v>9.75835051546392</v>
      </c>
      <c r="E72" s="11">
        <v>9.02</v>
      </c>
      <c r="F72" s="11">
        <v>67.43</v>
      </c>
      <c r="G72" s="11">
        <v>35.49</v>
      </c>
      <c r="H72" s="12">
        <f t="shared" si="12"/>
        <v>46.5039001165954</v>
      </c>
      <c r="I72" s="11">
        <v>37.62</v>
      </c>
      <c r="J72" s="11">
        <v>35.21</v>
      </c>
      <c r="K72" s="11">
        <v>16.59</v>
      </c>
      <c r="L72" s="12">
        <f t="shared" si="13"/>
        <v>22.5534324324324</v>
      </c>
      <c r="M72" s="11">
        <v>20.74</v>
      </c>
    </row>
    <row r="73" ht="14.25" spans="1:13">
      <c r="A73" s="15" t="s">
        <v>50</v>
      </c>
      <c r="B73" s="19">
        <v>35.08</v>
      </c>
      <c r="C73" s="19">
        <v>16.87</v>
      </c>
      <c r="D73" s="17">
        <f t="shared" si="11"/>
        <v>22.7834302213667</v>
      </c>
      <c r="E73" s="19">
        <v>17.65</v>
      </c>
      <c r="F73" s="19">
        <v>85.49</v>
      </c>
      <c r="G73" s="19">
        <v>46.97</v>
      </c>
      <c r="H73" s="17">
        <f t="shared" si="12"/>
        <v>60.6291001056923</v>
      </c>
      <c r="I73" s="19">
        <v>50.38</v>
      </c>
      <c r="J73" s="19">
        <v>47.28</v>
      </c>
      <c r="K73" s="19">
        <v>23.61</v>
      </c>
      <c r="L73" s="17">
        <f t="shared" si="13"/>
        <v>31.4933220482438</v>
      </c>
      <c r="M73" s="19">
        <v>23.96</v>
      </c>
    </row>
    <row r="74" ht="14.25"/>
    <row r="76" ht="14.25" spans="1:13">
      <c r="A76" s="1" t="s">
        <v>51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ht="15" spans="1:13">
      <c r="A77" s="2" t="s">
        <v>52</v>
      </c>
      <c r="B77" s="3" t="s">
        <v>2</v>
      </c>
      <c r="C77" s="3"/>
      <c r="D77" s="3"/>
      <c r="E77" s="3"/>
      <c r="F77" s="3" t="s">
        <v>3</v>
      </c>
      <c r="G77" s="3"/>
      <c r="H77" s="3"/>
      <c r="I77" s="3"/>
      <c r="J77" s="3" t="s">
        <v>4</v>
      </c>
      <c r="K77" s="3"/>
      <c r="L77" s="3"/>
      <c r="M77" s="3"/>
    </row>
    <row r="78" ht="14.25" spans="1:13">
      <c r="A78" s="4"/>
      <c r="B78" s="5" t="s">
        <v>5</v>
      </c>
      <c r="C78" s="6" t="s">
        <v>6</v>
      </c>
      <c r="D78" s="7" t="s">
        <v>7</v>
      </c>
      <c r="E78" s="8" t="s">
        <v>8</v>
      </c>
      <c r="F78" s="9" t="s">
        <v>5</v>
      </c>
      <c r="G78" s="10" t="s">
        <v>6</v>
      </c>
      <c r="H78" s="8" t="s">
        <v>7</v>
      </c>
      <c r="I78" s="8" t="s">
        <v>8</v>
      </c>
      <c r="J78" s="9" t="s">
        <v>5</v>
      </c>
      <c r="K78" s="10" t="s">
        <v>6</v>
      </c>
      <c r="L78" s="8" t="s">
        <v>7</v>
      </c>
      <c r="M78" s="8" t="s">
        <v>8</v>
      </c>
    </row>
    <row r="79" spans="1:13">
      <c r="A79" s="11" t="s">
        <v>53</v>
      </c>
      <c r="B79" s="11">
        <v>18.23</v>
      </c>
      <c r="C79" s="11">
        <v>10.86</v>
      </c>
      <c r="D79" s="12">
        <f t="shared" ref="D79:D81" si="14">(2*B79*C79)/(B79+C79)</f>
        <v>13.6113991062221</v>
      </c>
      <c r="E79" s="11">
        <v>12.02</v>
      </c>
      <c r="F79" s="11">
        <v>64.03</v>
      </c>
      <c r="G79" s="11">
        <v>33.79</v>
      </c>
      <c r="H79" s="12">
        <f t="shared" ref="H79:H81" si="15">(2*F79*G79)/(F79+G79)</f>
        <v>44.2358147618074</v>
      </c>
      <c r="I79" s="11">
        <v>39.53</v>
      </c>
      <c r="J79" s="11">
        <v>38.66</v>
      </c>
      <c r="K79" s="12">
        <v>13.5</v>
      </c>
      <c r="L79" s="12">
        <f t="shared" ref="L79:L81" si="16">(2*J79*K79)/(J79+K79)</f>
        <v>20.0118865030675</v>
      </c>
      <c r="M79" s="11">
        <v>16.51</v>
      </c>
    </row>
    <row r="80" spans="1:13">
      <c r="A80" s="11" t="s">
        <v>54</v>
      </c>
      <c r="B80" s="11">
        <v>25.54</v>
      </c>
      <c r="C80" s="11">
        <v>11.22</v>
      </c>
      <c r="D80" s="12">
        <f t="shared" si="14"/>
        <v>15.5907943416757</v>
      </c>
      <c r="E80" s="11">
        <v>12.29</v>
      </c>
      <c r="F80" s="11">
        <v>76.42</v>
      </c>
      <c r="G80" s="11">
        <v>27.47</v>
      </c>
      <c r="H80" s="12">
        <f t="shared" si="15"/>
        <v>40.4130792184041</v>
      </c>
      <c r="I80" s="11">
        <v>34.47</v>
      </c>
      <c r="J80" s="11">
        <v>33.19</v>
      </c>
      <c r="K80" s="11">
        <v>15.55</v>
      </c>
      <c r="L80" s="12">
        <f t="shared" si="16"/>
        <v>21.1778621255642</v>
      </c>
      <c r="M80" s="11">
        <v>17.72</v>
      </c>
    </row>
    <row r="81" ht="14.25" spans="1:13">
      <c r="A81" s="15" t="s">
        <v>55</v>
      </c>
      <c r="B81" s="19">
        <v>35.08</v>
      </c>
      <c r="C81" s="19">
        <v>16.87</v>
      </c>
      <c r="D81" s="17">
        <f t="shared" si="14"/>
        <v>22.7834302213667</v>
      </c>
      <c r="E81" s="19">
        <v>17.65</v>
      </c>
      <c r="F81" s="19">
        <v>85.49</v>
      </c>
      <c r="G81" s="19">
        <v>46.97</v>
      </c>
      <c r="H81" s="17">
        <f t="shared" si="15"/>
        <v>60.6291001056923</v>
      </c>
      <c r="I81" s="19">
        <v>50.38</v>
      </c>
      <c r="J81" s="19">
        <v>47.28</v>
      </c>
      <c r="K81" s="19">
        <v>23.61</v>
      </c>
      <c r="L81" s="17">
        <f t="shared" si="16"/>
        <v>31.4933220482438</v>
      </c>
      <c r="M81" s="19">
        <v>23.96</v>
      </c>
    </row>
    <row r="82" ht="14.25"/>
    <row r="84" ht="14.25" spans="1:13">
      <c r="A84" s="1" t="s">
        <v>56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ht="15" spans="1:13">
      <c r="A85" s="2" t="s">
        <v>57</v>
      </c>
      <c r="B85" s="3" t="s">
        <v>2</v>
      </c>
      <c r="C85" s="3"/>
      <c r="D85" s="3"/>
      <c r="E85" s="3"/>
      <c r="F85" s="3" t="s">
        <v>3</v>
      </c>
      <c r="G85" s="3"/>
      <c r="H85" s="3"/>
      <c r="I85" s="3"/>
      <c r="J85" s="3" t="s">
        <v>4</v>
      </c>
      <c r="K85" s="3"/>
      <c r="L85" s="3"/>
      <c r="M85" s="3"/>
    </row>
    <row r="86" ht="14.25" spans="1:13">
      <c r="A86" s="4"/>
      <c r="B86" s="5" t="s">
        <v>5</v>
      </c>
      <c r="C86" s="6" t="s">
        <v>6</v>
      </c>
      <c r="D86" s="7" t="s">
        <v>7</v>
      </c>
      <c r="E86" s="8" t="s">
        <v>8</v>
      </c>
      <c r="F86" s="9" t="s">
        <v>5</v>
      </c>
      <c r="G86" s="10" t="s">
        <v>6</v>
      </c>
      <c r="H86" s="8" t="s">
        <v>7</v>
      </c>
      <c r="I86" s="8" t="s">
        <v>8</v>
      </c>
      <c r="J86" s="9" t="s">
        <v>5</v>
      </c>
      <c r="K86" s="10" t="s">
        <v>6</v>
      </c>
      <c r="L86" s="8" t="s">
        <v>7</v>
      </c>
      <c r="M86" s="8" t="s">
        <v>8</v>
      </c>
    </row>
    <row r="87" spans="1:13">
      <c r="A87" s="1" t="s">
        <v>58</v>
      </c>
      <c r="B87" s="11">
        <v>16.88</v>
      </c>
      <c r="C87" s="11">
        <v>8.48</v>
      </c>
      <c r="D87" s="12">
        <f t="shared" ref="D87:D90" si="17">(2*B87*C87)/(B87+C87)</f>
        <v>11.288832807571</v>
      </c>
      <c r="E87" s="11">
        <v>9.48</v>
      </c>
      <c r="F87" s="11">
        <v>52.97</v>
      </c>
      <c r="G87" s="11">
        <v>24.54</v>
      </c>
      <c r="H87" s="12">
        <f t="shared" ref="H87:H90" si="18">(2*F87*G87)/(F87+G87)</f>
        <v>33.5410605083215</v>
      </c>
      <c r="I87" s="11">
        <v>31.65</v>
      </c>
      <c r="J87" s="11">
        <v>22.86</v>
      </c>
      <c r="K87" s="11">
        <v>11.89</v>
      </c>
      <c r="L87" s="12">
        <f t="shared" ref="L87:L90" si="19">(2*J87*K87)/(J87+K87)</f>
        <v>15.6434762589928</v>
      </c>
      <c r="M87" s="11">
        <v>13.04</v>
      </c>
    </row>
    <row r="88" spans="1:13">
      <c r="A88" s="1" t="s">
        <v>59</v>
      </c>
      <c r="B88" s="11">
        <v>23.45</v>
      </c>
      <c r="C88" s="11">
        <v>16.11</v>
      </c>
      <c r="D88" s="12">
        <f t="shared" si="17"/>
        <v>19.0990647118301</v>
      </c>
      <c r="E88" s="20">
        <v>18.06</v>
      </c>
      <c r="F88" s="11">
        <v>64.13</v>
      </c>
      <c r="G88" s="11">
        <v>37.24</v>
      </c>
      <c r="H88" s="12">
        <f t="shared" si="18"/>
        <v>47.1185005425668</v>
      </c>
      <c r="I88" s="11">
        <v>40.76</v>
      </c>
      <c r="J88" s="11">
        <v>35.66</v>
      </c>
      <c r="K88" s="11">
        <v>16.51</v>
      </c>
      <c r="L88" s="12">
        <f t="shared" si="19"/>
        <v>22.5703124400997</v>
      </c>
      <c r="M88" s="11">
        <v>21.42</v>
      </c>
    </row>
    <row r="89" spans="1:13">
      <c r="A89" s="1" t="s">
        <v>60</v>
      </c>
      <c r="B89" s="11">
        <v>19.63</v>
      </c>
      <c r="C89" s="11">
        <v>11.31</v>
      </c>
      <c r="D89" s="12">
        <f t="shared" si="17"/>
        <v>14.3513445378151</v>
      </c>
      <c r="E89" s="11">
        <v>12.35</v>
      </c>
      <c r="F89" s="11">
        <v>53.69</v>
      </c>
      <c r="G89" s="11">
        <v>32.06</v>
      </c>
      <c r="H89" s="12">
        <f t="shared" si="18"/>
        <v>40.1469714285714</v>
      </c>
      <c r="I89" s="11">
        <v>34.93</v>
      </c>
      <c r="J89" s="11">
        <v>28.42</v>
      </c>
      <c r="K89" s="11">
        <v>20.69</v>
      </c>
      <c r="L89" s="12">
        <f t="shared" si="19"/>
        <v>23.9466422317247</v>
      </c>
      <c r="M89" s="11">
        <v>20.96</v>
      </c>
    </row>
    <row r="90" ht="14.25" spans="1:13">
      <c r="A90" s="15" t="s">
        <v>55</v>
      </c>
      <c r="B90" s="19">
        <v>35.08</v>
      </c>
      <c r="C90" s="19">
        <v>16.87</v>
      </c>
      <c r="D90" s="17">
        <f t="shared" si="17"/>
        <v>22.7834302213667</v>
      </c>
      <c r="E90" s="21">
        <v>17.65</v>
      </c>
      <c r="F90" s="19">
        <v>85.49</v>
      </c>
      <c r="G90" s="19">
        <v>46.97</v>
      </c>
      <c r="H90" s="17">
        <f t="shared" si="18"/>
        <v>60.6291001056923</v>
      </c>
      <c r="I90" s="19">
        <v>50.38</v>
      </c>
      <c r="J90" s="19">
        <v>47.28</v>
      </c>
      <c r="K90" s="19">
        <v>23.61</v>
      </c>
      <c r="L90" s="17">
        <f t="shared" si="19"/>
        <v>31.4933220482438</v>
      </c>
      <c r="M90" s="19">
        <v>23.96</v>
      </c>
    </row>
    <row r="91" ht="14.25"/>
  </sheetData>
  <mergeCells count="40">
    <mergeCell ref="A1:M1"/>
    <mergeCell ref="B2:E2"/>
    <mergeCell ref="F2:I2"/>
    <mergeCell ref="J2:M2"/>
    <mergeCell ref="A30:M30"/>
    <mergeCell ref="B31:E31"/>
    <mergeCell ref="F31:I31"/>
    <mergeCell ref="J31:M31"/>
    <mergeCell ref="A39:M39"/>
    <mergeCell ref="B40:E40"/>
    <mergeCell ref="F40:I40"/>
    <mergeCell ref="J40:M40"/>
    <mergeCell ref="A48:M48"/>
    <mergeCell ref="B49:E49"/>
    <mergeCell ref="F49:I49"/>
    <mergeCell ref="J49:M49"/>
    <mergeCell ref="A58:M58"/>
    <mergeCell ref="B59:E59"/>
    <mergeCell ref="F59:I59"/>
    <mergeCell ref="J59:M59"/>
    <mergeCell ref="A67:M67"/>
    <mergeCell ref="B68:E68"/>
    <mergeCell ref="F68:I68"/>
    <mergeCell ref="J68:M68"/>
    <mergeCell ref="A76:M76"/>
    <mergeCell ref="B77:E77"/>
    <mergeCell ref="F77:I77"/>
    <mergeCell ref="J77:M77"/>
    <mergeCell ref="A84:M84"/>
    <mergeCell ref="B85:E85"/>
    <mergeCell ref="F85:I85"/>
    <mergeCell ref="J85:M85"/>
    <mergeCell ref="A2:A3"/>
    <mergeCell ref="A31:A32"/>
    <mergeCell ref="A40:A41"/>
    <mergeCell ref="A49:A50"/>
    <mergeCell ref="A59:A60"/>
    <mergeCell ref="A68:A69"/>
    <mergeCell ref="A77:A78"/>
    <mergeCell ref="A85:A8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Fa'te</cp:lastModifiedBy>
  <dcterms:created xsi:type="dcterms:W3CDTF">2026-09-17T16:04:00Z</dcterms:created>
  <dcterms:modified xsi:type="dcterms:W3CDTF">2026-09-20T14:15:14Z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428AFD9B11EA4F16B85EB640C8AF2CEE_13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